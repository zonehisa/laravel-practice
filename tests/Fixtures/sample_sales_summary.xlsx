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1" sheetId="1" r:id="rId4"/>
    <sheet state="visible" name="POS2" sheetId="2" r:id="rId5"/>
    <sheet state="visible" name="POS3" sheetId="3" r:id="rId6"/>
    <sheet state="visible" name="POS4" sheetId="4" r:id="rId7"/>
    <sheet state="visible" name="売上集計" sheetId="5" r:id="rId8"/>
  </sheets>
  <definedNames/>
  <calcPr/>
</workbook>
</file>

<file path=xl/sharedStrings.xml><?xml version="1.0" encoding="utf-8"?>
<sst xmlns="http://schemas.openxmlformats.org/spreadsheetml/2006/main" count="330" uniqueCount="66">
  <si>
    <t>商品コード</t>
  </si>
  <si>
    <t>商品名</t>
  </si>
  <si>
    <t>単価</t>
  </si>
  <si>
    <t>販売数</t>
  </si>
  <si>
    <t>売上金額</t>
  </si>
  <si>
    <t>P001</t>
  </si>
  <si>
    <t>南部鉄器 急須(小)</t>
  </si>
  <si>
    <t>P002</t>
  </si>
  <si>
    <t>南部鉄器 風鈴</t>
  </si>
  <si>
    <t>P003</t>
  </si>
  <si>
    <t>南部鉄器 文鎮</t>
  </si>
  <si>
    <t>P004</t>
  </si>
  <si>
    <t>南部せんべい(10枚入・ごま)</t>
  </si>
  <si>
    <t>P005</t>
  </si>
  <si>
    <t>南部せんべい(10枚入・ピーナッツ)</t>
  </si>
  <si>
    <t>P006</t>
  </si>
  <si>
    <t>南部せんべい(10枚入・りんご)</t>
  </si>
  <si>
    <t>P007</t>
  </si>
  <si>
    <t>藍染ハンカチ</t>
  </si>
  <si>
    <t>P008</t>
  </si>
  <si>
    <t>藍染手ぬぐい</t>
  </si>
  <si>
    <t>P009</t>
  </si>
  <si>
    <t>藍染トートバッグ</t>
  </si>
  <si>
    <t>P010</t>
  </si>
  <si>
    <t>南部焼 湯呑み</t>
  </si>
  <si>
    <t>P011</t>
  </si>
  <si>
    <t>南部焼 飯椀</t>
  </si>
  <si>
    <t>P012</t>
  </si>
  <si>
    <t>南部焼 マグカップ</t>
  </si>
  <si>
    <t>P013</t>
  </si>
  <si>
    <t>竹細工 箸(5膳セット)</t>
  </si>
  <si>
    <t>P014</t>
  </si>
  <si>
    <t>竹細工 弁当箱</t>
  </si>
  <si>
    <t>P015</t>
  </si>
  <si>
    <t>竹細工 茶托(5枚組)</t>
  </si>
  <si>
    <t>P016</t>
  </si>
  <si>
    <t>わら細工 鍋敷き</t>
  </si>
  <si>
    <t>P017</t>
  </si>
  <si>
    <t>わら細工 壁掛け飾り</t>
  </si>
  <si>
    <t>P018</t>
  </si>
  <si>
    <t>ホームスパン マフラー</t>
  </si>
  <si>
    <t>P019</t>
  </si>
  <si>
    <t>ホームスパン コースター(4枚組)</t>
  </si>
  <si>
    <t>P020</t>
  </si>
  <si>
    <t>盛岡冷麺(2食入・スープ付)</t>
  </si>
  <si>
    <t>P021</t>
  </si>
  <si>
    <t>盛岡冷麺(4食入・スープ付)</t>
  </si>
  <si>
    <t>P022</t>
  </si>
  <si>
    <t>手作りクッキー詰合せ</t>
  </si>
  <si>
    <t>P023</t>
  </si>
  <si>
    <t>手作りジャム(りんご)</t>
  </si>
  <si>
    <t>P024</t>
  </si>
  <si>
    <t>手作りジャム(ブルーベリー)</t>
  </si>
  <si>
    <t>P025</t>
  </si>
  <si>
    <t>木工品 お盆(中)</t>
  </si>
  <si>
    <t>P026</t>
  </si>
  <si>
    <t>木工品 箸置き(5個セット)</t>
  </si>
  <si>
    <t>P027</t>
  </si>
  <si>
    <t>螺鈿細工 ブローチ</t>
  </si>
  <si>
    <t>P028</t>
  </si>
  <si>
    <t>螺鈿細工 ペンダント</t>
  </si>
  <si>
    <t>P029</t>
  </si>
  <si>
    <t>郷土玩具 チャグチャグ馬コ(小)</t>
  </si>
  <si>
    <t>P030</t>
  </si>
  <si>
    <t>岩手銘菓 かもめの玉子(8個入)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</si>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</sst>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&quot;ＭＳ Ｐゴシック&quot;"/>
    </font>
    <font>
      <sz val="11.0"/>
      <color rgb="FF000000"/>
      <name val="&quot;ＭＳ Ｐゴシック&quot;"/>
    </font>
    <font>
      <b/>
      <sz val="11.0"/>
      <color theme="1"/>
      <name val="&quot;ＭＳ Ｐゴシック&quot;"/>
    </font>
  </fonts>
  <fills count="5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2" numFmtId="3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3" xfId="0" applyAlignment="1" applyBorder="1" applyFont="1" applyNumberFormat="1">
      <alignment horizontal="right"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ont="1">
      <alignment horizontal="right" shrinkToFit="0" wrapText="0"/>
    </xf>
    <xf borderId="1" fillId="4" fontId="3" numFmtId="0" xfId="0" applyAlignment="1" applyBorder="1" applyFont="1">
      <alignment horizontal="right" readingOrder="0" shrinkToFit="0" wrapText="0"/>
    </xf>
    <xf borderId="1" fillId="4" fontId="3" numFmtId="3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75"/>
    <col customWidth="1" min="3" max="5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8500.0</v>
      </c>
      <c r="D2" s="5">
        <v>4.0</v>
      </c>
      <c r="E2" s="4">
        <f t="shared" ref="E2:E31" si="1">C2*D2</f>
        <v>34000</v>
      </c>
    </row>
    <row r="3">
      <c r="A3" s="6" t="s">
        <v>7</v>
      </c>
      <c r="B3" s="7" t="s">
        <v>8</v>
      </c>
      <c r="C3" s="8">
        <v>3200.0</v>
      </c>
      <c r="D3" s="9">
        <v>7.0</v>
      </c>
      <c r="E3" s="4">
        <f t="shared" si="1"/>
        <v>22400</v>
      </c>
    </row>
    <row r="4">
      <c r="A4" s="2" t="s">
        <v>9</v>
      </c>
      <c r="B4" s="3" t="s">
        <v>10</v>
      </c>
      <c r="C4" s="4">
        <v>1800.0</v>
      </c>
      <c r="D4" s="5">
        <v>0.0</v>
      </c>
      <c r="E4" s="4">
        <f t="shared" si="1"/>
        <v>0</v>
      </c>
    </row>
    <row r="5">
      <c r="A5" s="6" t="s">
        <v>11</v>
      </c>
      <c r="B5" s="7" t="s">
        <v>12</v>
      </c>
      <c r="C5" s="9">
        <v>650.0</v>
      </c>
      <c r="D5" s="9">
        <v>8.0</v>
      </c>
      <c r="E5" s="4">
        <f t="shared" si="1"/>
        <v>5200</v>
      </c>
    </row>
    <row r="6">
      <c r="A6" s="2" t="s">
        <v>13</v>
      </c>
      <c r="B6" s="3" t="s">
        <v>14</v>
      </c>
      <c r="C6" s="5">
        <v>650.0</v>
      </c>
      <c r="D6" s="5">
        <v>5.0</v>
      </c>
      <c r="E6" s="4">
        <f t="shared" si="1"/>
        <v>3250</v>
      </c>
    </row>
    <row r="7">
      <c r="A7" s="6" t="s">
        <v>15</v>
      </c>
      <c r="B7" s="7" t="s">
        <v>16</v>
      </c>
      <c r="C7" s="9">
        <v>750.0</v>
      </c>
      <c r="D7" s="9">
        <v>2.0</v>
      </c>
      <c r="E7" s="4">
        <f t="shared" si="1"/>
        <v>1500</v>
      </c>
    </row>
    <row r="8">
      <c r="A8" s="2" t="s">
        <v>17</v>
      </c>
      <c r="B8" s="3" t="s">
        <v>18</v>
      </c>
      <c r="C8" s="4">
        <v>1500.0</v>
      </c>
      <c r="D8" s="5">
        <v>0.0</v>
      </c>
      <c r="E8" s="4">
        <f t="shared" si="1"/>
        <v>0</v>
      </c>
    </row>
    <row r="9">
      <c r="A9" s="6" t="s">
        <v>19</v>
      </c>
      <c r="B9" s="7" t="s">
        <v>20</v>
      </c>
      <c r="C9" s="8">
        <v>2200.0</v>
      </c>
      <c r="D9" s="9">
        <v>9.0</v>
      </c>
      <c r="E9" s="4">
        <f t="shared" si="1"/>
        <v>19800</v>
      </c>
    </row>
    <row r="10">
      <c r="A10" s="2" t="s">
        <v>21</v>
      </c>
      <c r="B10" s="3" t="s">
        <v>22</v>
      </c>
      <c r="C10" s="4">
        <v>4800.0</v>
      </c>
      <c r="D10" s="5">
        <v>6.0</v>
      </c>
      <c r="E10" s="4">
        <f t="shared" si="1"/>
        <v>28800</v>
      </c>
    </row>
    <row r="11">
      <c r="A11" s="6" t="s">
        <v>23</v>
      </c>
      <c r="B11" s="7" t="s">
        <v>24</v>
      </c>
      <c r="C11" s="8">
        <v>2800.0</v>
      </c>
      <c r="D11" s="9">
        <v>3.0</v>
      </c>
      <c r="E11" s="4">
        <f t="shared" si="1"/>
        <v>8400</v>
      </c>
    </row>
    <row r="12">
      <c r="A12" s="2" t="s">
        <v>25</v>
      </c>
      <c r="B12" s="3" t="s">
        <v>26</v>
      </c>
      <c r="C12" s="4">
        <v>2500.0</v>
      </c>
      <c r="D12" s="5">
        <v>0.0</v>
      </c>
      <c r="E12" s="4">
        <f t="shared" si="1"/>
        <v>0</v>
      </c>
    </row>
    <row r="13">
      <c r="A13" s="6" t="s">
        <v>27</v>
      </c>
      <c r="B13" s="7" t="s">
        <v>28</v>
      </c>
      <c r="C13" s="8">
        <v>3500.0</v>
      </c>
      <c r="D13" s="9">
        <v>10.0</v>
      </c>
      <c r="E13" s="4">
        <f t="shared" si="1"/>
        <v>35000</v>
      </c>
    </row>
    <row r="14">
      <c r="A14" s="2" t="s">
        <v>29</v>
      </c>
      <c r="B14" s="3" t="s">
        <v>30</v>
      </c>
      <c r="C14" s="4">
        <v>1200.0</v>
      </c>
      <c r="D14" s="5">
        <v>4.0</v>
      </c>
      <c r="E14" s="4">
        <f t="shared" si="1"/>
        <v>4800</v>
      </c>
    </row>
    <row r="15">
      <c r="A15" s="6" t="s">
        <v>31</v>
      </c>
      <c r="B15" s="7" t="s">
        <v>32</v>
      </c>
      <c r="C15" s="8">
        <v>4500.0</v>
      </c>
      <c r="D15" s="9">
        <v>1.0</v>
      </c>
      <c r="E15" s="4">
        <f t="shared" si="1"/>
        <v>4500</v>
      </c>
    </row>
    <row r="16">
      <c r="A16" s="2" t="s">
        <v>33</v>
      </c>
      <c r="B16" s="3" t="s">
        <v>34</v>
      </c>
      <c r="C16" s="4">
        <v>3800.0</v>
      </c>
      <c r="D16" s="5">
        <v>0.0</v>
      </c>
      <c r="E16" s="4">
        <f t="shared" si="1"/>
        <v>0</v>
      </c>
    </row>
    <row r="17">
      <c r="A17" s="6" t="s">
        <v>35</v>
      </c>
      <c r="B17" s="7" t="s">
        <v>36</v>
      </c>
      <c r="C17" s="9">
        <v>800.0</v>
      </c>
      <c r="D17" s="9">
        <v>5.0</v>
      </c>
      <c r="E17" s="4">
        <f t="shared" si="1"/>
        <v>4000</v>
      </c>
    </row>
    <row r="18">
      <c r="A18" s="2" t="s">
        <v>37</v>
      </c>
      <c r="B18" s="3" t="s">
        <v>38</v>
      </c>
      <c r="C18" s="4">
        <v>2000.0</v>
      </c>
      <c r="D18" s="5">
        <v>3.0</v>
      </c>
      <c r="E18" s="4">
        <f t="shared" si="1"/>
        <v>6000</v>
      </c>
    </row>
    <row r="19">
      <c r="A19" s="6" t="s">
        <v>39</v>
      </c>
      <c r="B19" s="7" t="s">
        <v>40</v>
      </c>
      <c r="C19" s="8">
        <v>15000.0</v>
      </c>
      <c r="D19" s="9">
        <v>2.0</v>
      </c>
      <c r="E19" s="4">
        <f t="shared" si="1"/>
        <v>30000</v>
      </c>
    </row>
    <row r="20">
      <c r="A20" s="2" t="s">
        <v>41</v>
      </c>
      <c r="B20" s="3" t="s">
        <v>42</v>
      </c>
      <c r="C20" s="4">
        <v>2800.0</v>
      </c>
      <c r="D20" s="5">
        <v>4.0</v>
      </c>
      <c r="E20" s="4">
        <f t="shared" si="1"/>
        <v>11200</v>
      </c>
    </row>
    <row r="21">
      <c r="A21" s="6" t="s">
        <v>43</v>
      </c>
      <c r="B21" s="7" t="s">
        <v>44</v>
      </c>
      <c r="C21" s="9">
        <v>800.0</v>
      </c>
      <c r="D21" s="9">
        <v>15.0</v>
      </c>
      <c r="E21" s="4">
        <f t="shared" si="1"/>
        <v>12000</v>
      </c>
    </row>
    <row r="22">
      <c r="A22" s="2" t="s">
        <v>45</v>
      </c>
      <c r="B22" s="3" t="s">
        <v>46</v>
      </c>
      <c r="C22" s="4">
        <v>1500.0</v>
      </c>
      <c r="D22" s="5">
        <v>8.0</v>
      </c>
      <c r="E22" s="4">
        <f t="shared" si="1"/>
        <v>12000</v>
      </c>
    </row>
    <row r="23">
      <c r="A23" s="6" t="s">
        <v>47</v>
      </c>
      <c r="B23" s="7" t="s">
        <v>48</v>
      </c>
      <c r="C23" s="8">
        <v>1200.0</v>
      </c>
      <c r="D23" s="9">
        <v>6.0</v>
      </c>
      <c r="E23" s="4">
        <f t="shared" si="1"/>
        <v>7200</v>
      </c>
    </row>
    <row r="24">
      <c r="A24" s="2" t="s">
        <v>49</v>
      </c>
      <c r="B24" s="3" t="s">
        <v>50</v>
      </c>
      <c r="C24" s="5">
        <v>850.0</v>
      </c>
      <c r="D24" s="5">
        <v>9.0</v>
      </c>
      <c r="E24" s="4">
        <f t="shared" si="1"/>
        <v>7650</v>
      </c>
    </row>
    <row r="25">
      <c r="A25" s="6" t="s">
        <v>51</v>
      </c>
      <c r="B25" s="7" t="s">
        <v>52</v>
      </c>
      <c r="C25" s="9">
        <v>900.0</v>
      </c>
      <c r="D25" s="9">
        <v>7.0</v>
      </c>
      <c r="E25" s="4">
        <f t="shared" si="1"/>
        <v>6300</v>
      </c>
    </row>
    <row r="26">
      <c r="A26" s="2" t="s">
        <v>53</v>
      </c>
      <c r="B26" s="3" t="s">
        <v>54</v>
      </c>
      <c r="C26" s="4">
        <v>3200.0</v>
      </c>
      <c r="D26" s="5">
        <v>3.0</v>
      </c>
      <c r="E26" s="4">
        <f t="shared" si="1"/>
        <v>9600</v>
      </c>
    </row>
    <row r="27">
      <c r="A27" s="6" t="s">
        <v>55</v>
      </c>
      <c r="B27" s="7" t="s">
        <v>56</v>
      </c>
      <c r="C27" s="8">
        <v>1500.0</v>
      </c>
      <c r="D27" s="9">
        <v>5.0</v>
      </c>
      <c r="E27" s="4">
        <f t="shared" si="1"/>
        <v>7500</v>
      </c>
    </row>
    <row r="28">
      <c r="A28" s="2" t="s">
        <v>57</v>
      </c>
      <c r="B28" s="3" t="s">
        <v>58</v>
      </c>
      <c r="C28" s="4">
        <v>6500.0</v>
      </c>
      <c r="D28" s="5">
        <v>1.0</v>
      </c>
      <c r="E28" s="4">
        <f t="shared" si="1"/>
        <v>6500</v>
      </c>
    </row>
    <row r="29">
      <c r="A29" s="6" t="s">
        <v>59</v>
      </c>
      <c r="B29" s="7" t="s">
        <v>60</v>
      </c>
      <c r="C29" s="8">
        <v>8800.0</v>
      </c>
      <c r="D29" s="9">
        <v>2.0</v>
      </c>
      <c r="E29" s="4">
        <f t="shared" si="1"/>
        <v>17600</v>
      </c>
    </row>
    <row r="30">
      <c r="A30" s="2" t="s">
        <v>61</v>
      </c>
      <c r="B30" s="3" t="s">
        <v>62</v>
      </c>
      <c r="C30" s="4">
        <v>1800.0</v>
      </c>
      <c r="D30" s="5">
        <v>4.0</v>
      </c>
      <c r="E30" s="4">
        <f t="shared" si="1"/>
        <v>7200</v>
      </c>
    </row>
    <row r="31">
      <c r="A31" s="6" t="s">
        <v>63</v>
      </c>
      <c r="B31" s="7" t="s">
        <v>64</v>
      </c>
      <c r="C31" s="8">
        <v>1080.0</v>
      </c>
      <c r="D31" s="9">
        <v>12.0</v>
      </c>
      <c r="E31" s="4">
        <f t="shared" si="1"/>
        <v>12960</v>
      </c>
    </row>
    <row r="32">
      <c r="A32" s="10" t="s">
        <v>65</v>
      </c>
      <c r="B32" s="11"/>
      <c r="C32" s="11"/>
      <c r="D32" s="12">
        <f t="shared" ref="D32:E32" si="2">SUM(D2:D31)</f>
        <v>145</v>
      </c>
      <c r="E32" s="13">
        <f t="shared" si="2"/>
        <v>325360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75"/>
    <col customWidth="1" min="3" max="5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8500.0</v>
      </c>
      <c r="D2" s="5">
        <v>4.0</v>
      </c>
      <c r="E2" s="4">
        <f t="shared" ref="E2:E31" si="1">C2*D2</f>
        <v>34000</v>
      </c>
    </row>
    <row r="3">
      <c r="A3" s="6" t="s">
        <v>7</v>
      </c>
      <c r="B3" s="7" t="s">
        <v>8</v>
      </c>
      <c r="C3" s="8">
        <v>3200.0</v>
      </c>
      <c r="D3" s="9">
        <v>7.0</v>
      </c>
      <c r="E3" s="4">
        <f t="shared" si="1"/>
        <v>22400</v>
      </c>
    </row>
    <row r="4">
      <c r="A4" s="2" t="s">
        <v>9</v>
      </c>
      <c r="B4" s="3" t="s">
        <v>10</v>
      </c>
      <c r="C4" s="4">
        <v>1800.0</v>
      </c>
      <c r="D4" s="5">
        <v>0.0</v>
      </c>
      <c r="E4" s="4">
        <f t="shared" si="1"/>
        <v>0</v>
      </c>
    </row>
    <row r="5">
      <c r="A5" s="6" t="s">
        <v>11</v>
      </c>
      <c r="B5" s="7" t="s">
        <v>12</v>
      </c>
      <c r="C5" s="9">
        <v>650.0</v>
      </c>
      <c r="D5" s="9">
        <v>8.0</v>
      </c>
      <c r="E5" s="4">
        <f t="shared" si="1"/>
        <v>5200</v>
      </c>
    </row>
    <row r="6">
      <c r="A6" s="2" t="s">
        <v>13</v>
      </c>
      <c r="B6" s="3" t="s">
        <v>14</v>
      </c>
      <c r="C6" s="5">
        <v>650.0</v>
      </c>
      <c r="D6" s="5">
        <v>5.0</v>
      </c>
      <c r="E6" s="4">
        <f t="shared" si="1"/>
        <v>3250</v>
      </c>
    </row>
    <row r="7">
      <c r="A7" s="6" t="s">
        <v>15</v>
      </c>
      <c r="B7" s="7" t="s">
        <v>16</v>
      </c>
      <c r="C7" s="9">
        <v>750.0</v>
      </c>
      <c r="D7" s="9">
        <v>2.0</v>
      </c>
      <c r="E7" s="4">
        <f t="shared" si="1"/>
        <v>1500</v>
      </c>
    </row>
    <row r="8">
      <c r="A8" s="2" t="s">
        <v>17</v>
      </c>
      <c r="B8" s="3" t="s">
        <v>18</v>
      </c>
      <c r="C8" s="4">
        <v>1500.0</v>
      </c>
      <c r="D8" s="5">
        <v>0.0</v>
      </c>
      <c r="E8" s="4">
        <f t="shared" si="1"/>
        <v>0</v>
      </c>
    </row>
    <row r="9">
      <c r="A9" s="6" t="s">
        <v>19</v>
      </c>
      <c r="B9" s="7" t="s">
        <v>20</v>
      </c>
      <c r="C9" s="8">
        <v>2200.0</v>
      </c>
      <c r="D9" s="9">
        <v>9.0</v>
      </c>
      <c r="E9" s="4">
        <f t="shared" si="1"/>
        <v>19800</v>
      </c>
    </row>
    <row r="10">
      <c r="A10" s="2" t="s">
        <v>21</v>
      </c>
      <c r="B10" s="3" t="s">
        <v>22</v>
      </c>
      <c r="C10" s="4">
        <v>4800.0</v>
      </c>
      <c r="D10" s="5">
        <v>6.0</v>
      </c>
      <c r="E10" s="4">
        <f t="shared" si="1"/>
        <v>28800</v>
      </c>
    </row>
    <row r="11">
      <c r="A11" s="6" t="s">
        <v>23</v>
      </c>
      <c r="B11" s="7" t="s">
        <v>24</v>
      </c>
      <c r="C11" s="8">
        <v>2800.0</v>
      </c>
      <c r="D11" s="9">
        <v>3.0</v>
      </c>
      <c r="E11" s="4">
        <f t="shared" si="1"/>
        <v>8400</v>
      </c>
    </row>
    <row r="12">
      <c r="A12" s="2" t="s">
        <v>25</v>
      </c>
      <c r="B12" s="3" t="s">
        <v>26</v>
      </c>
      <c r="C12" s="4">
        <v>2500.0</v>
      </c>
      <c r="D12" s="5">
        <v>0.0</v>
      </c>
      <c r="E12" s="4">
        <f t="shared" si="1"/>
        <v>0</v>
      </c>
    </row>
    <row r="13">
      <c r="A13" s="6" t="s">
        <v>27</v>
      </c>
      <c r="B13" s="7" t="s">
        <v>28</v>
      </c>
      <c r="C13" s="8">
        <v>3500.0</v>
      </c>
      <c r="D13" s="9">
        <v>10.0</v>
      </c>
      <c r="E13" s="4">
        <f t="shared" si="1"/>
        <v>35000</v>
      </c>
    </row>
    <row r="14">
      <c r="A14" s="2" t="s">
        <v>29</v>
      </c>
      <c r="B14" s="3" t="s">
        <v>30</v>
      </c>
      <c r="C14" s="4">
        <v>1200.0</v>
      </c>
      <c r="D14" s="5">
        <v>4.0</v>
      </c>
      <c r="E14" s="4">
        <f t="shared" si="1"/>
        <v>4800</v>
      </c>
    </row>
    <row r="15">
      <c r="A15" s="6" t="s">
        <v>31</v>
      </c>
      <c r="B15" s="7" t="s">
        <v>32</v>
      </c>
      <c r="C15" s="8">
        <v>4500.0</v>
      </c>
      <c r="D15" s="9">
        <v>1.0</v>
      </c>
      <c r="E15" s="4">
        <f t="shared" si="1"/>
        <v>4500</v>
      </c>
    </row>
    <row r="16">
      <c r="A16" s="2" t="s">
        <v>33</v>
      </c>
      <c r="B16" s="3" t="s">
        <v>34</v>
      </c>
      <c r="C16" s="4">
        <v>3800.0</v>
      </c>
      <c r="D16" s="5">
        <v>0.0</v>
      </c>
      <c r="E16" s="4">
        <f t="shared" si="1"/>
        <v>0</v>
      </c>
    </row>
    <row r="17">
      <c r="A17" s="6" t="s">
        <v>35</v>
      </c>
      <c r="B17" s="7" t="s">
        <v>36</v>
      </c>
      <c r="C17" s="9">
        <v>800.0</v>
      </c>
      <c r="D17" s="9">
        <v>5.0</v>
      </c>
      <c r="E17" s="4">
        <f t="shared" si="1"/>
        <v>4000</v>
      </c>
    </row>
    <row r="18">
      <c r="A18" s="2" t="s">
        <v>37</v>
      </c>
      <c r="B18" s="3" t="s">
        <v>38</v>
      </c>
      <c r="C18" s="4">
        <v>2000.0</v>
      </c>
      <c r="D18" s="5">
        <v>3.0</v>
      </c>
      <c r="E18" s="4">
        <f t="shared" si="1"/>
        <v>6000</v>
      </c>
    </row>
    <row r="19">
      <c r="A19" s="6" t="s">
        <v>39</v>
      </c>
      <c r="B19" s="7" t="s">
        <v>40</v>
      </c>
      <c r="C19" s="8">
        <v>15000.0</v>
      </c>
      <c r="D19" s="9">
        <v>2.0</v>
      </c>
      <c r="E19" s="4">
        <f t="shared" si="1"/>
        <v>30000</v>
      </c>
    </row>
    <row r="20">
      <c r="A20" s="2" t="s">
        <v>41</v>
      </c>
      <c r="B20" s="3" t="s">
        <v>42</v>
      </c>
      <c r="C20" s="4">
        <v>2800.0</v>
      </c>
      <c r="D20" s="5">
        <v>4.0</v>
      </c>
      <c r="E20" s="4">
        <f t="shared" si="1"/>
        <v>11200</v>
      </c>
    </row>
    <row r="21">
      <c r="A21" s="6" t="s">
        <v>43</v>
      </c>
      <c r="B21" s="7" t="s">
        <v>44</v>
      </c>
      <c r="C21" s="9">
        <v>800.0</v>
      </c>
      <c r="D21" s="9">
        <v>15.0</v>
      </c>
      <c r="E21" s="4">
        <f t="shared" si="1"/>
        <v>12000</v>
      </c>
    </row>
    <row r="22">
      <c r="A22" s="2" t="s">
        <v>45</v>
      </c>
      <c r="B22" s="3" t="s">
        <v>46</v>
      </c>
      <c r="C22" s="4">
        <v>1500.0</v>
      </c>
      <c r="D22" s="5">
        <v>8.0</v>
      </c>
      <c r="E22" s="4">
        <f t="shared" si="1"/>
        <v>12000</v>
      </c>
    </row>
    <row r="23">
      <c r="A23" s="6" t="s">
        <v>47</v>
      </c>
      <c r="B23" s="7" t="s">
        <v>48</v>
      </c>
      <c r="C23" s="8">
        <v>1200.0</v>
      </c>
      <c r="D23" s="9">
        <v>6.0</v>
      </c>
      <c r="E23" s="4">
        <f t="shared" si="1"/>
        <v>7200</v>
      </c>
    </row>
    <row r="24">
      <c r="A24" s="2" t="s">
        <v>49</v>
      </c>
      <c r="B24" s="3" t="s">
        <v>50</v>
      </c>
      <c r="C24" s="5">
        <v>850.0</v>
      </c>
      <c r="D24" s="5">
        <v>9.0</v>
      </c>
      <c r="E24" s="4">
        <f t="shared" si="1"/>
        <v>7650</v>
      </c>
    </row>
    <row r="25">
      <c r="A25" s="6" t="s">
        <v>51</v>
      </c>
      <c r="B25" s="7" t="s">
        <v>52</v>
      </c>
      <c r="C25" s="9">
        <v>900.0</v>
      </c>
      <c r="D25" s="9">
        <v>7.0</v>
      </c>
      <c r="E25" s="4">
        <f t="shared" si="1"/>
        <v>6300</v>
      </c>
    </row>
    <row r="26">
      <c r="A26" s="2" t="s">
        <v>53</v>
      </c>
      <c r="B26" s="3" t="s">
        <v>54</v>
      </c>
      <c r="C26" s="4">
        <v>3200.0</v>
      </c>
      <c r="D26" s="5">
        <v>3.0</v>
      </c>
      <c r="E26" s="4">
        <f t="shared" si="1"/>
        <v>9600</v>
      </c>
    </row>
    <row r="27">
      <c r="A27" s="6" t="s">
        <v>55</v>
      </c>
      <c r="B27" s="7" t="s">
        <v>56</v>
      </c>
      <c r="C27" s="8">
        <v>1500.0</v>
      </c>
      <c r="D27" s="9">
        <v>5.0</v>
      </c>
      <c r="E27" s="4">
        <f t="shared" si="1"/>
        <v>7500</v>
      </c>
    </row>
    <row r="28">
      <c r="A28" s="2" t="s">
        <v>57</v>
      </c>
      <c r="B28" s="3" t="s">
        <v>58</v>
      </c>
      <c r="C28" s="4">
        <v>6500.0</v>
      </c>
      <c r="D28" s="5">
        <v>1.0</v>
      </c>
      <c r="E28" s="4">
        <f t="shared" si="1"/>
        <v>6500</v>
      </c>
    </row>
    <row r="29">
      <c r="A29" s="6" t="s">
        <v>59</v>
      </c>
      <c r="B29" s="7" t="s">
        <v>60</v>
      </c>
      <c r="C29" s="8">
        <v>8800.0</v>
      </c>
      <c r="D29" s="9">
        <v>2.0</v>
      </c>
      <c r="E29" s="4">
        <f t="shared" si="1"/>
        <v>17600</v>
      </c>
    </row>
    <row r="30">
      <c r="A30" s="2" t="s">
        <v>61</v>
      </c>
      <c r="B30" s="3" t="s">
        <v>62</v>
      </c>
      <c r="C30" s="4">
        <v>1800.0</v>
      </c>
      <c r="D30" s="5">
        <v>4.0</v>
      </c>
      <c r="E30" s="4">
        <f t="shared" si="1"/>
        <v>7200</v>
      </c>
    </row>
    <row r="31">
      <c r="A31" s="6" t="s">
        <v>63</v>
      </c>
      <c r="B31" s="7" t="s">
        <v>64</v>
      </c>
      <c r="C31" s="8">
        <v>1080.0</v>
      </c>
      <c r="D31" s="9">
        <v>12.0</v>
      </c>
      <c r="E31" s="4">
        <f t="shared" si="1"/>
        <v>12960</v>
      </c>
    </row>
    <row r="32">
      <c r="A32" s="10" t="s">
        <v>65</v>
      </c>
      <c r="B32" s="11"/>
      <c r="C32" s="11"/>
      <c r="D32" s="12">
        <f t="shared" ref="D32:E32" si="2">SUM(D2:D31)</f>
        <v>145</v>
      </c>
      <c r="E32" s="13">
        <f t="shared" si="2"/>
        <v>325360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75"/>
    <col customWidth="1" min="3" max="5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8500.0</v>
      </c>
      <c r="D2" s="5">
        <v>4.0</v>
      </c>
      <c r="E2" s="4">
        <f t="shared" ref="E2:E31" si="1">C2*D2</f>
        <v>34000</v>
      </c>
    </row>
    <row r="3">
      <c r="A3" s="6" t="s">
        <v>7</v>
      </c>
      <c r="B3" s="7" t="s">
        <v>8</v>
      </c>
      <c r="C3" s="8">
        <v>3200.0</v>
      </c>
      <c r="D3" s="9">
        <v>7.0</v>
      </c>
      <c r="E3" s="4">
        <f t="shared" si="1"/>
        <v>22400</v>
      </c>
    </row>
    <row r="4">
      <c r="A4" s="2" t="s">
        <v>9</v>
      </c>
      <c r="B4" s="3" t="s">
        <v>10</v>
      </c>
      <c r="C4" s="4">
        <v>1800.0</v>
      </c>
      <c r="D4" s="5">
        <v>0.0</v>
      </c>
      <c r="E4" s="4">
        <f t="shared" si="1"/>
        <v>0</v>
      </c>
    </row>
    <row r="5">
      <c r="A5" s="6" t="s">
        <v>11</v>
      </c>
      <c r="B5" s="7" t="s">
        <v>12</v>
      </c>
      <c r="C5" s="9">
        <v>650.0</v>
      </c>
      <c r="D5" s="9">
        <v>8.0</v>
      </c>
      <c r="E5" s="4">
        <f t="shared" si="1"/>
        <v>5200</v>
      </c>
    </row>
    <row r="6">
      <c r="A6" s="2" t="s">
        <v>13</v>
      </c>
      <c r="B6" s="3" t="s">
        <v>14</v>
      </c>
      <c r="C6" s="5">
        <v>650.0</v>
      </c>
      <c r="D6" s="5">
        <v>5.0</v>
      </c>
      <c r="E6" s="4">
        <f t="shared" si="1"/>
        <v>3250</v>
      </c>
    </row>
    <row r="7">
      <c r="A7" s="6" t="s">
        <v>15</v>
      </c>
      <c r="B7" s="7" t="s">
        <v>16</v>
      </c>
      <c r="C7" s="9">
        <v>750.0</v>
      </c>
      <c r="D7" s="9">
        <v>2.0</v>
      </c>
      <c r="E7" s="4">
        <f t="shared" si="1"/>
        <v>1500</v>
      </c>
    </row>
    <row r="8">
      <c r="A8" s="2" t="s">
        <v>17</v>
      </c>
      <c r="B8" s="3" t="s">
        <v>18</v>
      </c>
      <c r="C8" s="4">
        <v>1500.0</v>
      </c>
      <c r="D8" s="5">
        <v>0.0</v>
      </c>
      <c r="E8" s="4">
        <f t="shared" si="1"/>
        <v>0</v>
      </c>
    </row>
    <row r="9">
      <c r="A9" s="6" t="s">
        <v>19</v>
      </c>
      <c r="B9" s="7" t="s">
        <v>20</v>
      </c>
      <c r="C9" s="8">
        <v>2200.0</v>
      </c>
      <c r="D9" s="9">
        <v>9.0</v>
      </c>
      <c r="E9" s="4">
        <f t="shared" si="1"/>
        <v>19800</v>
      </c>
    </row>
    <row r="10">
      <c r="A10" s="2" t="s">
        <v>21</v>
      </c>
      <c r="B10" s="3" t="s">
        <v>22</v>
      </c>
      <c r="C10" s="4">
        <v>4800.0</v>
      </c>
      <c r="D10" s="5">
        <v>6.0</v>
      </c>
      <c r="E10" s="4">
        <f t="shared" si="1"/>
        <v>28800</v>
      </c>
    </row>
    <row r="11">
      <c r="A11" s="6" t="s">
        <v>23</v>
      </c>
      <c r="B11" s="7" t="s">
        <v>24</v>
      </c>
      <c r="C11" s="8">
        <v>2800.0</v>
      </c>
      <c r="D11" s="9">
        <v>3.0</v>
      </c>
      <c r="E11" s="4">
        <f t="shared" si="1"/>
        <v>8400</v>
      </c>
    </row>
    <row r="12">
      <c r="A12" s="2" t="s">
        <v>25</v>
      </c>
      <c r="B12" s="3" t="s">
        <v>26</v>
      </c>
      <c r="C12" s="4">
        <v>2500.0</v>
      </c>
      <c r="D12" s="5">
        <v>0.0</v>
      </c>
      <c r="E12" s="4">
        <f t="shared" si="1"/>
        <v>0</v>
      </c>
    </row>
    <row r="13">
      <c r="A13" s="6" t="s">
        <v>27</v>
      </c>
      <c r="B13" s="7" t="s">
        <v>28</v>
      </c>
      <c r="C13" s="8">
        <v>3500.0</v>
      </c>
      <c r="D13" s="9">
        <v>10.0</v>
      </c>
      <c r="E13" s="4">
        <f t="shared" si="1"/>
        <v>35000</v>
      </c>
    </row>
    <row r="14">
      <c r="A14" s="2" t="s">
        <v>29</v>
      </c>
      <c r="B14" s="3" t="s">
        <v>30</v>
      </c>
      <c r="C14" s="4">
        <v>1200.0</v>
      </c>
      <c r="D14" s="5">
        <v>4.0</v>
      </c>
      <c r="E14" s="4">
        <f t="shared" si="1"/>
        <v>4800</v>
      </c>
    </row>
    <row r="15">
      <c r="A15" s="6" t="s">
        <v>31</v>
      </c>
      <c r="B15" s="7" t="s">
        <v>32</v>
      </c>
      <c r="C15" s="8">
        <v>4500.0</v>
      </c>
      <c r="D15" s="9">
        <v>1.0</v>
      </c>
      <c r="E15" s="4">
        <f t="shared" si="1"/>
        <v>4500</v>
      </c>
    </row>
    <row r="16">
      <c r="A16" s="2" t="s">
        <v>33</v>
      </c>
      <c r="B16" s="3" t="s">
        <v>34</v>
      </c>
      <c r="C16" s="4">
        <v>3800.0</v>
      </c>
      <c r="D16" s="5">
        <v>0.0</v>
      </c>
      <c r="E16" s="4">
        <f t="shared" si="1"/>
        <v>0</v>
      </c>
    </row>
    <row r="17">
      <c r="A17" s="6" t="s">
        <v>35</v>
      </c>
      <c r="B17" s="7" t="s">
        <v>36</v>
      </c>
      <c r="C17" s="9">
        <v>800.0</v>
      </c>
      <c r="D17" s="9">
        <v>5.0</v>
      </c>
      <c r="E17" s="4">
        <f t="shared" si="1"/>
        <v>4000</v>
      </c>
    </row>
    <row r="18">
      <c r="A18" s="2" t="s">
        <v>37</v>
      </c>
      <c r="B18" s="3" t="s">
        <v>38</v>
      </c>
      <c r="C18" s="4">
        <v>2000.0</v>
      </c>
      <c r="D18" s="5">
        <v>3.0</v>
      </c>
      <c r="E18" s="4">
        <f t="shared" si="1"/>
        <v>6000</v>
      </c>
    </row>
    <row r="19">
      <c r="A19" s="6" t="s">
        <v>39</v>
      </c>
      <c r="B19" s="7" t="s">
        <v>40</v>
      </c>
      <c r="C19" s="8">
        <v>15000.0</v>
      </c>
      <c r="D19" s="9">
        <v>2.0</v>
      </c>
      <c r="E19" s="4">
        <f t="shared" si="1"/>
        <v>30000</v>
      </c>
    </row>
    <row r="20">
      <c r="A20" s="2" t="s">
        <v>41</v>
      </c>
      <c r="B20" s="3" t="s">
        <v>42</v>
      </c>
      <c r="C20" s="4">
        <v>2800.0</v>
      </c>
      <c r="D20" s="5">
        <v>4.0</v>
      </c>
      <c r="E20" s="4">
        <f t="shared" si="1"/>
        <v>11200</v>
      </c>
    </row>
    <row r="21">
      <c r="A21" s="6" t="s">
        <v>43</v>
      </c>
      <c r="B21" s="7" t="s">
        <v>44</v>
      </c>
      <c r="C21" s="9">
        <v>800.0</v>
      </c>
      <c r="D21" s="9">
        <v>15.0</v>
      </c>
      <c r="E21" s="4">
        <f t="shared" si="1"/>
        <v>12000</v>
      </c>
    </row>
    <row r="22">
      <c r="A22" s="2" t="s">
        <v>45</v>
      </c>
      <c r="B22" s="3" t="s">
        <v>46</v>
      </c>
      <c r="C22" s="4">
        <v>1500.0</v>
      </c>
      <c r="D22" s="5">
        <v>8.0</v>
      </c>
      <c r="E22" s="4">
        <f t="shared" si="1"/>
        <v>12000</v>
      </c>
    </row>
    <row r="23">
      <c r="A23" s="6" t="s">
        <v>47</v>
      </c>
      <c r="B23" s="7" t="s">
        <v>48</v>
      </c>
      <c r="C23" s="8">
        <v>1200.0</v>
      </c>
      <c r="D23" s="9">
        <v>6.0</v>
      </c>
      <c r="E23" s="4">
        <f t="shared" si="1"/>
        <v>7200</v>
      </c>
    </row>
    <row r="24">
      <c r="A24" s="2" t="s">
        <v>49</v>
      </c>
      <c r="B24" s="3" t="s">
        <v>50</v>
      </c>
      <c r="C24" s="5">
        <v>850.0</v>
      </c>
      <c r="D24" s="5">
        <v>9.0</v>
      </c>
      <c r="E24" s="4">
        <f t="shared" si="1"/>
        <v>7650</v>
      </c>
    </row>
    <row r="25">
      <c r="A25" s="6" t="s">
        <v>51</v>
      </c>
      <c r="B25" s="7" t="s">
        <v>52</v>
      </c>
      <c r="C25" s="9">
        <v>900.0</v>
      </c>
      <c r="D25" s="9">
        <v>7.0</v>
      </c>
      <c r="E25" s="4">
        <f t="shared" si="1"/>
        <v>6300</v>
      </c>
    </row>
    <row r="26">
      <c r="A26" s="2" t="s">
        <v>53</v>
      </c>
      <c r="B26" s="3" t="s">
        <v>54</v>
      </c>
      <c r="C26" s="4">
        <v>3200.0</v>
      </c>
      <c r="D26" s="5">
        <v>3.0</v>
      </c>
      <c r="E26" s="4">
        <f t="shared" si="1"/>
        <v>9600</v>
      </c>
    </row>
    <row r="27">
      <c r="A27" s="6" t="s">
        <v>55</v>
      </c>
      <c r="B27" s="7" t="s">
        <v>56</v>
      </c>
      <c r="C27" s="8">
        <v>1500.0</v>
      </c>
      <c r="D27" s="9">
        <v>5.0</v>
      </c>
      <c r="E27" s="4">
        <f t="shared" si="1"/>
        <v>7500</v>
      </c>
    </row>
    <row r="28">
      <c r="A28" s="2" t="s">
        <v>57</v>
      </c>
      <c r="B28" s="3" t="s">
        <v>58</v>
      </c>
      <c r="C28" s="4">
        <v>6500.0</v>
      </c>
      <c r="D28" s="5">
        <v>1.0</v>
      </c>
      <c r="E28" s="4">
        <f t="shared" si="1"/>
        <v>6500</v>
      </c>
    </row>
    <row r="29">
      <c r="A29" s="6" t="s">
        <v>59</v>
      </c>
      <c r="B29" s="7" t="s">
        <v>60</v>
      </c>
      <c r="C29" s="8">
        <v>8800.0</v>
      </c>
      <c r="D29" s="9">
        <v>2.0</v>
      </c>
      <c r="E29" s="4">
        <f t="shared" si="1"/>
        <v>17600</v>
      </c>
    </row>
    <row r="30">
      <c r="A30" s="2" t="s">
        <v>61</v>
      </c>
      <c r="B30" s="3" t="s">
        <v>62</v>
      </c>
      <c r="C30" s="4">
        <v>1800.0</v>
      </c>
      <c r="D30" s="5">
        <v>4.0</v>
      </c>
      <c r="E30" s="4">
        <f t="shared" si="1"/>
        <v>7200</v>
      </c>
    </row>
    <row r="31">
      <c r="A31" s="6" t="s">
        <v>63</v>
      </c>
      <c r="B31" s="7" t="s">
        <v>64</v>
      </c>
      <c r="C31" s="8">
        <v>1080.0</v>
      </c>
      <c r="D31" s="9">
        <v>12.0</v>
      </c>
      <c r="E31" s="4">
        <f t="shared" si="1"/>
        <v>12960</v>
      </c>
    </row>
    <row r="32">
      <c r="A32" s="10" t="s">
        <v>65</v>
      </c>
      <c r="B32" s="11"/>
      <c r="C32" s="11"/>
      <c r="D32" s="12">
        <v>145.0</v>
      </c>
      <c r="E32" s="13">
        <f>SUM(E2:E31)</f>
        <v>325360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75"/>
    <col customWidth="1" min="3" max="5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8500.0</v>
      </c>
      <c r="D2" s="5">
        <v>4.0</v>
      </c>
      <c r="E2" s="4">
        <f t="shared" ref="E2:E31" si="1">C2*D2</f>
        <v>34000</v>
      </c>
    </row>
    <row r="3">
      <c r="A3" s="6" t="s">
        <v>7</v>
      </c>
      <c r="B3" s="7" t="s">
        <v>8</v>
      </c>
      <c r="C3" s="8">
        <v>3200.0</v>
      </c>
      <c r="D3" s="9">
        <v>7.0</v>
      </c>
      <c r="E3" s="4">
        <f t="shared" si="1"/>
        <v>22400</v>
      </c>
    </row>
    <row r="4">
      <c r="A4" s="2" t="s">
        <v>9</v>
      </c>
      <c r="B4" s="3" t="s">
        <v>10</v>
      </c>
      <c r="C4" s="4">
        <v>1800.0</v>
      </c>
      <c r="D4" s="5">
        <v>0.0</v>
      </c>
      <c r="E4" s="4">
        <f t="shared" si="1"/>
        <v>0</v>
      </c>
    </row>
    <row r="5">
      <c r="A5" s="6" t="s">
        <v>11</v>
      </c>
      <c r="B5" s="7" t="s">
        <v>12</v>
      </c>
      <c r="C5" s="9">
        <v>650.0</v>
      </c>
      <c r="D5" s="9">
        <v>8.0</v>
      </c>
      <c r="E5" s="4">
        <f t="shared" si="1"/>
        <v>5200</v>
      </c>
    </row>
    <row r="6">
      <c r="A6" s="2" t="s">
        <v>13</v>
      </c>
      <c r="B6" s="3" t="s">
        <v>14</v>
      </c>
      <c r="C6" s="5">
        <v>650.0</v>
      </c>
      <c r="D6" s="5">
        <v>5.0</v>
      </c>
      <c r="E6" s="4">
        <f t="shared" si="1"/>
        <v>3250</v>
      </c>
    </row>
    <row r="7">
      <c r="A7" s="6" t="s">
        <v>15</v>
      </c>
      <c r="B7" s="7" t="s">
        <v>16</v>
      </c>
      <c r="C7" s="9">
        <v>750.0</v>
      </c>
      <c r="D7" s="9">
        <v>2.0</v>
      </c>
      <c r="E7" s="4">
        <f t="shared" si="1"/>
        <v>1500</v>
      </c>
    </row>
    <row r="8">
      <c r="A8" s="2" t="s">
        <v>17</v>
      </c>
      <c r="B8" s="3" t="s">
        <v>18</v>
      </c>
      <c r="C8" s="4">
        <v>1500.0</v>
      </c>
      <c r="D8" s="5">
        <v>0.0</v>
      </c>
      <c r="E8" s="4">
        <f t="shared" si="1"/>
        <v>0</v>
      </c>
    </row>
    <row r="9">
      <c r="A9" s="6" t="s">
        <v>19</v>
      </c>
      <c r="B9" s="7" t="s">
        <v>20</v>
      </c>
      <c r="C9" s="8">
        <v>2200.0</v>
      </c>
      <c r="D9" s="9">
        <v>9.0</v>
      </c>
      <c r="E9" s="4">
        <f t="shared" si="1"/>
        <v>19800</v>
      </c>
    </row>
    <row r="10">
      <c r="A10" s="2" t="s">
        <v>21</v>
      </c>
      <c r="B10" s="3" t="s">
        <v>22</v>
      </c>
      <c r="C10" s="4">
        <v>4800.0</v>
      </c>
      <c r="D10" s="5">
        <v>6.0</v>
      </c>
      <c r="E10" s="4">
        <f t="shared" si="1"/>
        <v>28800</v>
      </c>
    </row>
    <row r="11">
      <c r="A11" s="6" t="s">
        <v>23</v>
      </c>
      <c r="B11" s="7" t="s">
        <v>24</v>
      </c>
      <c r="C11" s="8">
        <v>2800.0</v>
      </c>
      <c r="D11" s="9">
        <v>3.0</v>
      </c>
      <c r="E11" s="4">
        <f t="shared" si="1"/>
        <v>8400</v>
      </c>
    </row>
    <row r="12">
      <c r="A12" s="2" t="s">
        <v>25</v>
      </c>
      <c r="B12" s="3" t="s">
        <v>26</v>
      </c>
      <c r="C12" s="4">
        <v>2500.0</v>
      </c>
      <c r="D12" s="5">
        <v>0.0</v>
      </c>
      <c r="E12" s="4">
        <f t="shared" si="1"/>
        <v>0</v>
      </c>
    </row>
    <row r="13">
      <c r="A13" s="6" t="s">
        <v>27</v>
      </c>
      <c r="B13" s="7" t="s">
        <v>28</v>
      </c>
      <c r="C13" s="8">
        <v>3500.0</v>
      </c>
      <c r="D13" s="9">
        <v>10.0</v>
      </c>
      <c r="E13" s="4">
        <f t="shared" si="1"/>
        <v>35000</v>
      </c>
    </row>
    <row r="14">
      <c r="A14" s="2" t="s">
        <v>29</v>
      </c>
      <c r="B14" s="3" t="s">
        <v>30</v>
      </c>
      <c r="C14" s="4">
        <v>1200.0</v>
      </c>
      <c r="D14" s="5">
        <v>4.0</v>
      </c>
      <c r="E14" s="4">
        <f t="shared" si="1"/>
        <v>4800</v>
      </c>
    </row>
    <row r="15">
      <c r="A15" s="6" t="s">
        <v>31</v>
      </c>
      <c r="B15" s="7" t="s">
        <v>32</v>
      </c>
      <c r="C15" s="8">
        <v>4500.0</v>
      </c>
      <c r="D15" s="9">
        <v>1.0</v>
      </c>
      <c r="E15" s="4">
        <f t="shared" si="1"/>
        <v>4500</v>
      </c>
    </row>
    <row r="16">
      <c r="A16" s="2" t="s">
        <v>33</v>
      </c>
      <c r="B16" s="3" t="s">
        <v>34</v>
      </c>
      <c r="C16" s="4">
        <v>3800.0</v>
      </c>
      <c r="D16" s="5">
        <v>0.0</v>
      </c>
      <c r="E16" s="4">
        <f t="shared" si="1"/>
        <v>0</v>
      </c>
    </row>
    <row r="17">
      <c r="A17" s="6" t="s">
        <v>35</v>
      </c>
      <c r="B17" s="7" t="s">
        <v>36</v>
      </c>
      <c r="C17" s="9">
        <v>800.0</v>
      </c>
      <c r="D17" s="9">
        <v>5.0</v>
      </c>
      <c r="E17" s="4">
        <f t="shared" si="1"/>
        <v>4000</v>
      </c>
    </row>
    <row r="18">
      <c r="A18" s="2" t="s">
        <v>37</v>
      </c>
      <c r="B18" s="3" t="s">
        <v>38</v>
      </c>
      <c r="C18" s="4">
        <v>2000.0</v>
      </c>
      <c r="D18" s="5">
        <v>3.0</v>
      </c>
      <c r="E18" s="4">
        <f t="shared" si="1"/>
        <v>6000</v>
      </c>
    </row>
    <row r="19">
      <c r="A19" s="6" t="s">
        <v>39</v>
      </c>
      <c r="B19" s="7" t="s">
        <v>40</v>
      </c>
      <c r="C19" s="8">
        <v>15000.0</v>
      </c>
      <c r="D19" s="9">
        <v>2.0</v>
      </c>
      <c r="E19" s="4">
        <f t="shared" si="1"/>
        <v>30000</v>
      </c>
    </row>
    <row r="20">
      <c r="A20" s="2" t="s">
        <v>41</v>
      </c>
      <c r="B20" s="3" t="s">
        <v>42</v>
      </c>
      <c r="C20" s="4">
        <v>2800.0</v>
      </c>
      <c r="D20" s="5">
        <v>4.0</v>
      </c>
      <c r="E20" s="4">
        <f t="shared" si="1"/>
        <v>11200</v>
      </c>
    </row>
    <row r="21">
      <c r="A21" s="6" t="s">
        <v>43</v>
      </c>
      <c r="B21" s="7" t="s">
        <v>44</v>
      </c>
      <c r="C21" s="9">
        <v>800.0</v>
      </c>
      <c r="D21" s="9">
        <v>15.0</v>
      </c>
      <c r="E21" s="4">
        <f t="shared" si="1"/>
        <v>12000</v>
      </c>
    </row>
    <row r="22">
      <c r="A22" s="2" t="s">
        <v>45</v>
      </c>
      <c r="B22" s="3" t="s">
        <v>46</v>
      </c>
      <c r="C22" s="4">
        <v>1500.0</v>
      </c>
      <c r="D22" s="5">
        <v>8.0</v>
      </c>
      <c r="E22" s="4">
        <f t="shared" si="1"/>
        <v>12000</v>
      </c>
    </row>
    <row r="23">
      <c r="A23" s="6" t="s">
        <v>47</v>
      </c>
      <c r="B23" s="7" t="s">
        <v>48</v>
      </c>
      <c r="C23" s="8">
        <v>1200.0</v>
      </c>
      <c r="D23" s="9">
        <v>6.0</v>
      </c>
      <c r="E23" s="4">
        <f t="shared" si="1"/>
        <v>7200</v>
      </c>
    </row>
    <row r="24">
      <c r="A24" s="2" t="s">
        <v>49</v>
      </c>
      <c r="B24" s="3" t="s">
        <v>50</v>
      </c>
      <c r="C24" s="5">
        <v>850.0</v>
      </c>
      <c r="D24" s="5">
        <v>9.0</v>
      </c>
      <c r="E24" s="4">
        <f t="shared" si="1"/>
        <v>7650</v>
      </c>
    </row>
    <row r="25">
      <c r="A25" s="6" t="s">
        <v>51</v>
      </c>
      <c r="B25" s="7" t="s">
        <v>52</v>
      </c>
      <c r="C25" s="9">
        <v>900.0</v>
      </c>
      <c r="D25" s="9">
        <v>7.0</v>
      </c>
      <c r="E25" s="4">
        <f t="shared" si="1"/>
        <v>6300</v>
      </c>
    </row>
    <row r="26">
      <c r="A26" s="2" t="s">
        <v>53</v>
      </c>
      <c r="B26" s="3" t="s">
        <v>54</v>
      </c>
      <c r="C26" s="4">
        <v>3200.0</v>
      </c>
      <c r="D26" s="5">
        <v>3.0</v>
      </c>
      <c r="E26" s="4">
        <f t="shared" si="1"/>
        <v>9600</v>
      </c>
    </row>
    <row r="27">
      <c r="A27" s="6" t="s">
        <v>55</v>
      </c>
      <c r="B27" s="7" t="s">
        <v>56</v>
      </c>
      <c r="C27" s="8">
        <v>1500.0</v>
      </c>
      <c r="D27" s="9">
        <v>5.0</v>
      </c>
      <c r="E27" s="4">
        <f t="shared" si="1"/>
        <v>7500</v>
      </c>
    </row>
    <row r="28">
      <c r="A28" s="2" t="s">
        <v>57</v>
      </c>
      <c r="B28" s="3" t="s">
        <v>58</v>
      </c>
      <c r="C28" s="4">
        <v>6500.0</v>
      </c>
      <c r="D28" s="5">
        <v>1.0</v>
      </c>
      <c r="E28" s="4">
        <f t="shared" si="1"/>
        <v>6500</v>
      </c>
    </row>
    <row r="29">
      <c r="A29" s="6" t="s">
        <v>59</v>
      </c>
      <c r="B29" s="7" t="s">
        <v>60</v>
      </c>
      <c r="C29" s="8">
        <v>8800.0</v>
      </c>
      <c r="D29" s="9">
        <v>2.0</v>
      </c>
      <c r="E29" s="4">
        <f t="shared" si="1"/>
        <v>17600</v>
      </c>
    </row>
    <row r="30">
      <c r="A30" s="2" t="s">
        <v>61</v>
      </c>
      <c r="B30" s="3" t="s">
        <v>62</v>
      </c>
      <c r="C30" s="4">
        <v>1800.0</v>
      </c>
      <c r="D30" s="5">
        <v>4.0</v>
      </c>
      <c r="E30" s="4">
        <f t="shared" si="1"/>
        <v>7200</v>
      </c>
    </row>
    <row r="31">
      <c r="A31" s="6" t="s">
        <v>63</v>
      </c>
      <c r="B31" s="7" t="s">
        <v>64</v>
      </c>
      <c r="C31" s="8">
        <v>1080.0</v>
      </c>
      <c r="D31" s="9">
        <v>12.0</v>
      </c>
      <c r="E31" s="4">
        <f t="shared" si="1"/>
        <v>12960</v>
      </c>
    </row>
    <row r="32">
      <c r="A32" s="10" t="s">
        <v>65</v>
      </c>
      <c r="B32" s="11"/>
      <c r="C32" s="11"/>
      <c r="D32" s="12">
        <f t="shared" ref="D32:E32" si="2">SUM(D2:D31)</f>
        <v>145</v>
      </c>
      <c r="E32" s="13">
        <f t="shared" si="2"/>
        <v>325360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9.75"/>
    <col customWidth="1" min="3" max="5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8500.0</v>
      </c>
      <c r="D2" s="5">
        <f>'POS1'!D2+'POS2'!D2+'POS3'!D2+'POS4'!D2</f>
        <v>16</v>
      </c>
      <c r="E2" s="4">
        <f t="shared" ref="E2:E31" si="1">C2*D2</f>
        <v>136000</v>
      </c>
    </row>
    <row r="3">
      <c r="A3" s="6" t="s">
        <v>7</v>
      </c>
      <c r="B3" s="7" t="s">
        <v>8</v>
      </c>
      <c r="C3" s="8">
        <v>3200.0</v>
      </c>
      <c r="D3" s="5">
        <f>'POS1'!D3+'POS2'!D3+'POS3'!D3+'POS4'!D3</f>
        <v>28</v>
      </c>
      <c r="E3" s="4">
        <f t="shared" si="1"/>
        <v>89600</v>
      </c>
    </row>
    <row r="4">
      <c r="A4" s="2" t="s">
        <v>9</v>
      </c>
      <c r="B4" s="3" t="s">
        <v>10</v>
      </c>
      <c r="C4" s="4">
        <v>1800.0</v>
      </c>
      <c r="D4" s="5">
        <f>'POS1'!D4+'POS2'!D4+'POS3'!D4+'POS4'!D4</f>
        <v>0</v>
      </c>
      <c r="E4" s="4">
        <f t="shared" si="1"/>
        <v>0</v>
      </c>
    </row>
    <row r="5">
      <c r="A5" s="6" t="s">
        <v>11</v>
      </c>
      <c r="B5" s="7" t="s">
        <v>12</v>
      </c>
      <c r="C5" s="9">
        <v>650.0</v>
      </c>
      <c r="D5" s="5">
        <f>'POS1'!D5+'POS2'!D5+'POS3'!D5+'POS4'!D5</f>
        <v>32</v>
      </c>
      <c r="E5" s="4">
        <f t="shared" si="1"/>
        <v>20800</v>
      </c>
    </row>
    <row r="6">
      <c r="A6" s="2" t="s">
        <v>13</v>
      </c>
      <c r="B6" s="3" t="s">
        <v>14</v>
      </c>
      <c r="C6" s="5">
        <v>650.0</v>
      </c>
      <c r="D6" s="5">
        <f>'POS1'!D6+'POS2'!D6+'POS3'!D6+'POS4'!D6</f>
        <v>20</v>
      </c>
      <c r="E6" s="4">
        <f t="shared" si="1"/>
        <v>13000</v>
      </c>
    </row>
    <row r="7">
      <c r="A7" s="6" t="s">
        <v>15</v>
      </c>
      <c r="B7" s="7" t="s">
        <v>16</v>
      </c>
      <c r="C7" s="9">
        <v>750.0</v>
      </c>
      <c r="D7" s="5">
        <f>'POS1'!D7+'POS2'!D7+'POS3'!D7+'POS4'!D7</f>
        <v>8</v>
      </c>
      <c r="E7" s="4">
        <f t="shared" si="1"/>
        <v>6000</v>
      </c>
    </row>
    <row r="8">
      <c r="A8" s="2" t="s">
        <v>17</v>
      </c>
      <c r="B8" s="3" t="s">
        <v>18</v>
      </c>
      <c r="C8" s="4">
        <v>1500.0</v>
      </c>
      <c r="D8" s="5">
        <f>'POS1'!D8+'POS2'!D8+'POS3'!D8+'POS4'!D8</f>
        <v>0</v>
      </c>
      <c r="E8" s="4">
        <f t="shared" si="1"/>
        <v>0</v>
      </c>
    </row>
    <row r="9">
      <c r="A9" s="6" t="s">
        <v>19</v>
      </c>
      <c r="B9" s="7" t="s">
        <v>20</v>
      </c>
      <c r="C9" s="8">
        <v>2200.0</v>
      </c>
      <c r="D9" s="5">
        <f>'POS1'!D9+'POS2'!D9+'POS3'!D9+'POS4'!D9</f>
        <v>36</v>
      </c>
      <c r="E9" s="4">
        <f t="shared" si="1"/>
        <v>79200</v>
      </c>
    </row>
    <row r="10">
      <c r="A10" s="2" t="s">
        <v>21</v>
      </c>
      <c r="B10" s="3" t="s">
        <v>22</v>
      </c>
      <c r="C10" s="4">
        <v>4800.0</v>
      </c>
      <c r="D10" s="5">
        <f>'POS1'!D10+'POS2'!D10+'POS3'!D10+'POS4'!D10</f>
        <v>24</v>
      </c>
      <c r="E10" s="4">
        <f t="shared" si="1"/>
        <v>115200</v>
      </c>
    </row>
    <row r="11">
      <c r="A11" s="6" t="s">
        <v>23</v>
      </c>
      <c r="B11" s="7" t="s">
        <v>24</v>
      </c>
      <c r="C11" s="8">
        <v>2800.0</v>
      </c>
      <c r="D11" s="5">
        <f>'POS1'!D11+'POS2'!D11+'POS3'!D11+'POS4'!D11</f>
        <v>12</v>
      </c>
      <c r="E11" s="4">
        <f t="shared" si="1"/>
        <v>33600</v>
      </c>
    </row>
    <row r="12">
      <c r="A12" s="2" t="s">
        <v>25</v>
      </c>
      <c r="B12" s="3" t="s">
        <v>26</v>
      </c>
      <c r="C12" s="4">
        <v>2500.0</v>
      </c>
      <c r="D12" s="5">
        <f>'POS1'!D12+'POS2'!D12+'POS3'!D12+'POS4'!D12</f>
        <v>0</v>
      </c>
      <c r="E12" s="4">
        <f t="shared" si="1"/>
        <v>0</v>
      </c>
    </row>
    <row r="13">
      <c r="A13" s="6" t="s">
        <v>27</v>
      </c>
      <c r="B13" s="7" t="s">
        <v>28</v>
      </c>
      <c r="C13" s="8">
        <v>3500.0</v>
      </c>
      <c r="D13" s="5">
        <f>'POS1'!D13+'POS2'!D13+'POS3'!D13+'POS4'!D13</f>
        <v>40</v>
      </c>
      <c r="E13" s="4">
        <f t="shared" si="1"/>
        <v>140000</v>
      </c>
    </row>
    <row r="14">
      <c r="A14" s="2" t="s">
        <v>29</v>
      </c>
      <c r="B14" s="3" t="s">
        <v>30</v>
      </c>
      <c r="C14" s="4">
        <v>1200.0</v>
      </c>
      <c r="D14" s="5">
        <f>'POS1'!D14+'POS2'!D14+'POS3'!D14+'POS4'!D14</f>
        <v>16</v>
      </c>
      <c r="E14" s="4">
        <f t="shared" si="1"/>
        <v>19200</v>
      </c>
    </row>
    <row r="15">
      <c r="A15" s="6" t="s">
        <v>31</v>
      </c>
      <c r="B15" s="7" t="s">
        <v>32</v>
      </c>
      <c r="C15" s="8">
        <v>4500.0</v>
      </c>
      <c r="D15" s="5">
        <f>'POS1'!D15+'POS2'!D15+'POS3'!D15+'POS4'!D15</f>
        <v>4</v>
      </c>
      <c r="E15" s="4">
        <f t="shared" si="1"/>
        <v>18000</v>
      </c>
    </row>
    <row r="16">
      <c r="A16" s="2" t="s">
        <v>33</v>
      </c>
      <c r="B16" s="3" t="s">
        <v>34</v>
      </c>
      <c r="C16" s="4">
        <v>3800.0</v>
      </c>
      <c r="D16" s="5">
        <f>'POS1'!D16+'POS2'!D16+'POS3'!D16+'POS4'!D16</f>
        <v>0</v>
      </c>
      <c r="E16" s="4">
        <f t="shared" si="1"/>
        <v>0</v>
      </c>
    </row>
    <row r="17">
      <c r="A17" s="6" t="s">
        <v>35</v>
      </c>
      <c r="B17" s="7" t="s">
        <v>36</v>
      </c>
      <c r="C17" s="9">
        <v>800.0</v>
      </c>
      <c r="D17" s="5">
        <f>'POS1'!D17+'POS2'!D17+'POS3'!D17+'POS4'!D17</f>
        <v>20</v>
      </c>
      <c r="E17" s="4">
        <f t="shared" si="1"/>
        <v>16000</v>
      </c>
    </row>
    <row r="18">
      <c r="A18" s="2" t="s">
        <v>37</v>
      </c>
      <c r="B18" s="3" t="s">
        <v>38</v>
      </c>
      <c r="C18" s="4">
        <v>2000.0</v>
      </c>
      <c r="D18" s="5">
        <f>'POS1'!D18+'POS2'!D18+'POS3'!D18+'POS4'!D18</f>
        <v>12</v>
      </c>
      <c r="E18" s="4">
        <f t="shared" si="1"/>
        <v>24000</v>
      </c>
    </row>
    <row r="19">
      <c r="A19" s="6" t="s">
        <v>39</v>
      </c>
      <c r="B19" s="7" t="s">
        <v>40</v>
      </c>
      <c r="C19" s="8">
        <v>15000.0</v>
      </c>
      <c r="D19" s="5">
        <f>'POS1'!D19+'POS2'!D19+'POS3'!D19+'POS4'!D19</f>
        <v>8</v>
      </c>
      <c r="E19" s="4">
        <f t="shared" si="1"/>
        <v>120000</v>
      </c>
    </row>
    <row r="20">
      <c r="A20" s="2" t="s">
        <v>41</v>
      </c>
      <c r="B20" s="3" t="s">
        <v>42</v>
      </c>
      <c r="C20" s="4">
        <v>2800.0</v>
      </c>
      <c r="D20" s="5">
        <f>'POS1'!D20+'POS2'!D20+'POS3'!D20+'POS4'!D20</f>
        <v>16</v>
      </c>
      <c r="E20" s="4">
        <f t="shared" si="1"/>
        <v>44800</v>
      </c>
    </row>
    <row r="21">
      <c r="A21" s="6" t="s">
        <v>43</v>
      </c>
      <c r="B21" s="7" t="s">
        <v>44</v>
      </c>
      <c r="C21" s="9">
        <v>800.0</v>
      </c>
      <c r="D21" s="5">
        <f>'POS1'!D21+'POS2'!D21+'POS3'!D21+'POS4'!D21</f>
        <v>60</v>
      </c>
      <c r="E21" s="4">
        <f t="shared" si="1"/>
        <v>48000</v>
      </c>
    </row>
    <row r="22">
      <c r="A22" s="2" t="s">
        <v>45</v>
      </c>
      <c r="B22" s="3" t="s">
        <v>46</v>
      </c>
      <c r="C22" s="4">
        <v>1500.0</v>
      </c>
      <c r="D22" s="5">
        <f>'POS1'!D22+'POS2'!D22+'POS3'!D22+'POS4'!D22</f>
        <v>32</v>
      </c>
      <c r="E22" s="4">
        <f t="shared" si="1"/>
        <v>48000</v>
      </c>
    </row>
    <row r="23">
      <c r="A23" s="6" t="s">
        <v>47</v>
      </c>
      <c r="B23" s="7" t="s">
        <v>48</v>
      </c>
      <c r="C23" s="8">
        <v>1200.0</v>
      </c>
      <c r="D23" s="5">
        <f>'POS1'!D23+'POS2'!D23+'POS3'!D23+'POS4'!D23</f>
        <v>24</v>
      </c>
      <c r="E23" s="4">
        <f t="shared" si="1"/>
        <v>28800</v>
      </c>
    </row>
    <row r="24">
      <c r="A24" s="2" t="s">
        <v>49</v>
      </c>
      <c r="B24" s="3" t="s">
        <v>50</v>
      </c>
      <c r="C24" s="5">
        <v>850.0</v>
      </c>
      <c r="D24" s="5">
        <f>'POS1'!D24+'POS2'!D24+'POS3'!D24+'POS4'!D24</f>
        <v>36</v>
      </c>
      <c r="E24" s="4">
        <f t="shared" si="1"/>
        <v>30600</v>
      </c>
    </row>
    <row r="25">
      <c r="A25" s="6" t="s">
        <v>51</v>
      </c>
      <c r="B25" s="7" t="s">
        <v>52</v>
      </c>
      <c r="C25" s="9">
        <v>900.0</v>
      </c>
      <c r="D25" s="5">
        <f>'POS1'!D25+'POS2'!D25+'POS3'!D25+'POS4'!D25</f>
        <v>28</v>
      </c>
      <c r="E25" s="4">
        <f t="shared" si="1"/>
        <v>25200</v>
      </c>
    </row>
    <row r="26">
      <c r="A26" s="2" t="s">
        <v>53</v>
      </c>
      <c r="B26" s="3" t="s">
        <v>54</v>
      </c>
      <c r="C26" s="4">
        <v>3200.0</v>
      </c>
      <c r="D26" s="5">
        <f>'POS1'!D26+'POS2'!D26+'POS3'!D26+'POS4'!D26</f>
        <v>12</v>
      </c>
      <c r="E26" s="4">
        <f t="shared" si="1"/>
        <v>38400</v>
      </c>
    </row>
    <row r="27">
      <c r="A27" s="6" t="s">
        <v>55</v>
      </c>
      <c r="B27" s="7" t="s">
        <v>56</v>
      </c>
      <c r="C27" s="8">
        <v>1500.0</v>
      </c>
      <c r="D27" s="5">
        <f>'POS1'!D27+'POS2'!D27+'POS3'!D27+'POS4'!D27</f>
        <v>20</v>
      </c>
      <c r="E27" s="4">
        <f t="shared" si="1"/>
        <v>30000</v>
      </c>
    </row>
    <row r="28">
      <c r="A28" s="2" t="s">
        <v>57</v>
      </c>
      <c r="B28" s="3" t="s">
        <v>58</v>
      </c>
      <c r="C28" s="4">
        <v>6500.0</v>
      </c>
      <c r="D28" s="5">
        <f>'POS1'!D28+'POS2'!D28+'POS3'!D28+'POS4'!D28</f>
        <v>4</v>
      </c>
      <c r="E28" s="4">
        <f t="shared" si="1"/>
        <v>26000</v>
      </c>
    </row>
    <row r="29">
      <c r="A29" s="6" t="s">
        <v>59</v>
      </c>
      <c r="B29" s="7" t="s">
        <v>60</v>
      </c>
      <c r="C29" s="8">
        <v>8800.0</v>
      </c>
      <c r="D29" s="5">
        <f>'POS1'!D29+'POS2'!D29+'POS3'!D29+'POS4'!D29</f>
        <v>8</v>
      </c>
      <c r="E29" s="4">
        <f t="shared" si="1"/>
        <v>70400</v>
      </c>
    </row>
    <row r="30">
      <c r="A30" s="2" t="s">
        <v>61</v>
      </c>
      <c r="B30" s="3" t="s">
        <v>62</v>
      </c>
      <c r="C30" s="4">
        <v>1800.0</v>
      </c>
      <c r="D30" s="5">
        <f>'POS1'!D30+'POS2'!D30+'POS3'!D30+'POS4'!D30</f>
        <v>16</v>
      </c>
      <c r="E30" s="4">
        <f t="shared" si="1"/>
        <v>28800</v>
      </c>
    </row>
    <row r="31">
      <c r="A31" s="6" t="s">
        <v>63</v>
      </c>
      <c r="B31" s="7" t="s">
        <v>64</v>
      </c>
      <c r="C31" s="8">
        <v>1080.0</v>
      </c>
      <c r="D31" s="5">
        <f>'POS1'!D31+'POS2'!D31+'POS3'!D31+'POS4'!D31</f>
        <v>48</v>
      </c>
      <c r="E31" s="4">
        <f t="shared" si="1"/>
        <v>51840</v>
      </c>
    </row>
    <row r="32">
      <c r="A32" s="10" t="s">
        <v>65</v>
      </c>
      <c r="B32" s="11"/>
      <c r="C32" s="11"/>
      <c r="D32" s="12">
        <f t="shared" ref="D32:E32" si="2">SUM(D2:D31)</f>
        <v>580</v>
      </c>
      <c r="E32" s="13">
        <f t="shared" si="2"/>
        <v>1301440</v>
      </c>
    </row>
  </sheetData>
  <drawing r:id="rId1"/>
</worksheet>
</file>